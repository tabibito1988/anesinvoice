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morimoto\pythondev\anesinvoice\"/>
    </mc:Choice>
  </mc:AlternateContent>
  <bookViews>
    <workbookView xWindow="0" yWindow="0" windowWidth="20490" windowHeight="7770" activeTab="1"/>
  </bookViews>
  <sheets>
    <sheet name="名簿" sheetId="2" r:id="rId1"/>
    <sheet name="雛形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1" l="1"/>
  <c r="E38" i="1"/>
  <c r="E3" i="1"/>
  <c r="L41" i="1" l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M36" i="1" l="1"/>
  <c r="B42" i="1" s="1"/>
  <c r="H42" i="1" s="1"/>
  <c r="L36" i="1"/>
  <c r="B40" i="1" s="1"/>
  <c r="H40" i="1" s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K36" i="1" l="1"/>
  <c r="B38" i="1" s="1"/>
</calcChain>
</file>

<file path=xl/sharedStrings.xml><?xml version="1.0" encoding="utf-8"?>
<sst xmlns="http://schemas.openxmlformats.org/spreadsheetml/2006/main" count="67" uniqueCount="48">
  <si>
    <t>Amazon Prime Now</t>
  </si>
  <si>
    <t>Group</t>
  </si>
  <si>
    <t>WP</t>
  </si>
  <si>
    <t>所属</t>
  </si>
  <si>
    <t>種別</t>
  </si>
  <si>
    <t>日</t>
  </si>
  <si>
    <t>曜日</t>
  </si>
  <si>
    <t>8-10</t>
  </si>
  <si>
    <t>10-12</t>
  </si>
  <si>
    <t>12-14</t>
  </si>
  <si>
    <t>14-16</t>
  </si>
  <si>
    <t>16-18</t>
  </si>
  <si>
    <t>18-20</t>
  </si>
  <si>
    <t>20-22</t>
  </si>
  <si>
    <t>22-24</t>
  </si>
  <si>
    <t>実数</t>
  </si>
  <si>
    <t>ｲﾍﾞﾝﾄ便</t>
  </si>
  <si>
    <t>管理数</t>
  </si>
  <si>
    <t>備　考</t>
  </si>
  <si>
    <t>×</t>
  </si>
  <si>
    <t>/ 1件</t>
  </si>
  <si>
    <t>＝</t>
  </si>
  <si>
    <t>イベント</t>
  </si>
  <si>
    <t>売上</t>
  </si>
  <si>
    <t>（税別）</t>
  </si>
  <si>
    <t>アネス</t>
    <phoneticPr fontId="1"/>
  </si>
  <si>
    <t>K-TRUST</t>
    <phoneticPr fontId="1"/>
  </si>
  <si>
    <t>ヤマトワークス</t>
    <phoneticPr fontId="1"/>
  </si>
  <si>
    <t>高橋清忠</t>
    <rPh sb="0" eb="2">
      <t>タカハシ</t>
    </rPh>
    <rPh sb="2" eb="4">
      <t>キヨタダ</t>
    </rPh>
    <phoneticPr fontId="1"/>
  </si>
  <si>
    <t>高橋真紀子</t>
    <rPh sb="0" eb="2">
      <t>タカハシ</t>
    </rPh>
    <rPh sb="2" eb="5">
      <t>マキコ</t>
    </rPh>
    <phoneticPr fontId="1"/>
  </si>
  <si>
    <t>長谷川宏</t>
    <rPh sb="0" eb="3">
      <t>ハセガワ</t>
    </rPh>
    <rPh sb="3" eb="4">
      <t>ヒロシ</t>
    </rPh>
    <phoneticPr fontId="1"/>
  </si>
  <si>
    <t>小藤田龍朗</t>
    <rPh sb="0" eb="3">
      <t>コトウダ</t>
    </rPh>
    <rPh sb="3" eb="5">
      <t>タツロウ</t>
    </rPh>
    <phoneticPr fontId="1"/>
  </si>
  <si>
    <t>石井喜代美</t>
    <rPh sb="0" eb="2">
      <t>イシイ</t>
    </rPh>
    <rPh sb="2" eb="5">
      <t>キヨミ</t>
    </rPh>
    <phoneticPr fontId="1"/>
  </si>
  <si>
    <t>市来純一</t>
    <rPh sb="0" eb="2">
      <t>イチキ</t>
    </rPh>
    <rPh sb="2" eb="4">
      <t>ジュンイチ</t>
    </rPh>
    <phoneticPr fontId="1"/>
  </si>
  <si>
    <t>原島健人</t>
    <rPh sb="0" eb="4">
      <t>ハラシマケント</t>
    </rPh>
    <phoneticPr fontId="1"/>
  </si>
  <si>
    <t>君島一</t>
    <rPh sb="0" eb="2">
      <t>キミシマ</t>
    </rPh>
    <rPh sb="2" eb="3">
      <t>ハジメ</t>
    </rPh>
    <phoneticPr fontId="1"/>
  </si>
  <si>
    <t>渡辺成就</t>
    <rPh sb="0" eb="2">
      <t>ワタナベ</t>
    </rPh>
    <rPh sb="2" eb="4">
      <t>ジョウジュ</t>
    </rPh>
    <phoneticPr fontId="1"/>
  </si>
  <si>
    <t>園田伸一</t>
    <rPh sb="0" eb="2">
      <t>ソノダ</t>
    </rPh>
    <rPh sb="2" eb="4">
      <t>シンイチ</t>
    </rPh>
    <phoneticPr fontId="1"/>
  </si>
  <si>
    <t>石黒竜一</t>
    <rPh sb="0" eb="2">
      <t>イシグロ</t>
    </rPh>
    <rPh sb="2" eb="4">
      <t>リュウイチ</t>
    </rPh>
    <phoneticPr fontId="1"/>
  </si>
  <si>
    <t>石黒海</t>
    <rPh sb="0" eb="2">
      <t>イシグロ</t>
    </rPh>
    <rPh sb="2" eb="3">
      <t>ウミ</t>
    </rPh>
    <phoneticPr fontId="1"/>
  </si>
  <si>
    <t>岸信行</t>
    <rPh sb="0" eb="1">
      <t>キシ</t>
    </rPh>
    <rPh sb="1" eb="3">
      <t>ノブユキ</t>
    </rPh>
    <phoneticPr fontId="1"/>
  </si>
  <si>
    <t>出口洋平</t>
    <rPh sb="0" eb="2">
      <t>デグチ</t>
    </rPh>
    <rPh sb="2" eb="4">
      <t>ヨウヘイ</t>
    </rPh>
    <phoneticPr fontId="1"/>
  </si>
  <si>
    <t>USA</t>
    <phoneticPr fontId="1"/>
  </si>
  <si>
    <t>USA</t>
    <phoneticPr fontId="1"/>
  </si>
  <si>
    <t>白石翔太</t>
    <rPh sb="0" eb="2">
      <t>シライシ</t>
    </rPh>
    <rPh sb="2" eb="4">
      <t>ショウタ</t>
    </rPh>
    <phoneticPr fontId="1"/>
  </si>
  <si>
    <t>藤原健</t>
    <rPh sb="0" eb="2">
      <t>フジワラ</t>
    </rPh>
    <rPh sb="2" eb="3">
      <t>ケン</t>
    </rPh>
    <phoneticPr fontId="1"/>
  </si>
  <si>
    <t>アネス</t>
    <phoneticPr fontId="1"/>
  </si>
  <si>
    <t>藤田宙伸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</si>
</sst>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¥&quot;#,##0;&quot;¥&quot;\-#,##0"/>
    <numFmt numFmtId="176" formatCode="m/d"/>
    <numFmt numFmtId="177" formatCode="0_);[Red]\(0\)"/>
    <numFmt numFmtId="178" formatCode="#,###"/>
    <numFmt numFmtId="179" formatCode="0_ ;[Red]\-0\ "/>
    <numFmt numFmtId="180" formatCode="&quot;¥&quot;#,##0_);[Red]\(&quot;¥&quot;#,##0\)"/>
  </numFmts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8"/>
      <color rgb="FF000000"/>
      <name val="MS PGothic"/>
      <family val="3"/>
      <charset val="128"/>
    </font>
    <font>
      <sz val="11"/>
      <name val="MS PGothic"/>
      <family val="3"/>
      <charset val="128"/>
    </font>
    <font>
      <sz val="11"/>
      <color rgb="FF0C0C0C"/>
      <name val="MS PGothic"/>
      <family val="3"/>
      <charset val="128"/>
    </font>
    <font>
      <sz val="12"/>
      <name val="MS PGothic"/>
      <family val="3"/>
      <charset val="128"/>
    </font>
    <font>
      <sz val="12"/>
      <color rgb="FF0C0C0C"/>
      <name val="MS PGothic"/>
      <family val="3"/>
      <charset val="128"/>
    </font>
    <font>
      <sz val="12"/>
      <color rgb="FF000000"/>
      <name val="MS PGothic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70C0"/>
      </left>
      <right style="thick">
        <color rgb="FFED7D31"/>
      </right>
      <top style="thick">
        <color rgb="FF0070C0"/>
      </top>
      <bottom style="thick">
        <color rgb="FF0070C0"/>
      </bottom>
      <diagonal/>
    </border>
    <border>
      <left style="thick">
        <color rgb="FF70AD47"/>
      </left>
      <right/>
      <top style="thick">
        <color rgb="FF70AD47"/>
      </top>
      <bottom style="thick">
        <color rgb="FF70AD47"/>
      </bottom>
      <diagonal/>
    </border>
    <border>
      <left style="thick">
        <color rgb="FF7030A0"/>
      </left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ck">
        <color rgb="FF0070C0"/>
      </left>
      <right style="thick">
        <color rgb="FFED7D31"/>
      </right>
      <top style="thick">
        <color rgb="FF0070C0"/>
      </top>
      <bottom/>
      <diagonal/>
    </border>
    <border>
      <left style="thick">
        <color rgb="FF70AD47"/>
      </left>
      <right style="thick">
        <color rgb="FF7030A0"/>
      </right>
      <top style="thick">
        <color rgb="FF70AD47"/>
      </top>
      <bottom/>
      <diagonal/>
    </border>
    <border>
      <left style="thick">
        <color rgb="FF7030A0"/>
      </left>
      <right style="thick">
        <color rgb="FF7030A0"/>
      </right>
      <top style="thick">
        <color rgb="FF7030A0"/>
      </top>
      <bottom/>
      <diagonal/>
    </border>
    <border>
      <left style="thick">
        <color rgb="FF0070C0"/>
      </left>
      <right style="thick">
        <color rgb="FFED7D31"/>
      </right>
      <top/>
      <bottom style="thick">
        <color rgb="FF0070C0"/>
      </bottom>
      <diagonal/>
    </border>
    <border>
      <left style="thick">
        <color rgb="FF70AD47"/>
      </left>
      <right style="thick">
        <color rgb="FF7030A0"/>
      </right>
      <top/>
      <bottom style="thick">
        <color rgb="FF70AD47"/>
      </bottom>
      <diagonal/>
    </border>
    <border>
      <left style="thick">
        <color rgb="FF7030A0"/>
      </left>
      <right style="thick">
        <color rgb="FF7030A0"/>
      </right>
      <top/>
      <bottom style="thick">
        <color rgb="FF7030A0"/>
      </bottom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 tint="0.39997558519241921"/>
      </top>
      <bottom/>
      <diagonal/>
    </border>
    <border>
      <left style="medium">
        <color rgb="FF70AD47"/>
      </left>
      <right/>
      <top style="medium">
        <color theme="9" tint="0.39997558519241921"/>
      </top>
      <bottom style="medium">
        <color theme="9" tint="0.39997558519241921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 style="medium">
        <color theme="9" tint="0.39997558519241921"/>
      </bottom>
      <diagonal/>
    </border>
    <border>
      <left/>
      <right style="medium">
        <color rgb="FF7030A0"/>
      </right>
      <top style="medium">
        <color rgb="FF7030A0"/>
      </top>
      <bottom style="medium">
        <color rgb="FF7030A0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 shrinkToFit="1"/>
    </xf>
    <xf numFmtId="0" fontId="0" fillId="0" borderId="9" xfId="0" applyFont="1" applyBorder="1" applyAlignment="1">
      <alignment horizontal="center" vertical="center" shrinkToFit="1"/>
    </xf>
    <xf numFmtId="0" fontId="0" fillId="0" borderId="10" xfId="0" applyFont="1" applyBorder="1" applyAlignment="1">
      <alignment horizontal="center" vertical="center" shrinkToFit="1"/>
    </xf>
    <xf numFmtId="49" fontId="0" fillId="0" borderId="10" xfId="0" applyNumberFormat="1" applyFont="1" applyBorder="1" applyAlignment="1">
      <alignment horizontal="center" vertical="center" shrinkToFit="1"/>
    </xf>
    <xf numFmtId="49" fontId="0" fillId="0" borderId="9" xfId="0" applyNumberFormat="1" applyFont="1" applyBorder="1" applyAlignment="1">
      <alignment horizontal="center" vertical="center" shrinkToFit="1"/>
    </xf>
    <xf numFmtId="49" fontId="0" fillId="0" borderId="11" xfId="0" applyNumberFormat="1" applyFont="1" applyBorder="1" applyAlignment="1">
      <alignment horizontal="center" vertical="center" shrinkToFit="1"/>
    </xf>
    <xf numFmtId="0" fontId="0" fillId="0" borderId="12" xfId="0" applyFont="1" applyBorder="1" applyAlignment="1">
      <alignment horizontal="center" vertical="center" shrinkToFit="1"/>
    </xf>
    <xf numFmtId="0" fontId="0" fillId="2" borderId="13" xfId="0" applyFont="1" applyFill="1" applyBorder="1" applyAlignment="1">
      <alignment horizontal="center" vertical="center" shrinkToFit="1"/>
    </xf>
    <xf numFmtId="0" fontId="0" fillId="0" borderId="14" xfId="0" applyFont="1" applyBorder="1" applyAlignment="1">
      <alignment horizontal="center" vertical="center" shrinkToFit="1"/>
    </xf>
    <xf numFmtId="176" fontId="0" fillId="0" borderId="17" xfId="0" applyNumberFormat="1" applyFont="1" applyBorder="1" applyAlignment="1">
      <alignment horizontal="center" vertical="center" shrinkToFit="1"/>
    </xf>
    <xf numFmtId="0" fontId="0" fillId="0" borderId="17" xfId="0" applyFont="1" applyBorder="1" applyAlignment="1">
      <alignment horizontal="center" vertical="center" shrinkToFit="1"/>
    </xf>
    <xf numFmtId="177" fontId="4" fillId="0" borderId="17" xfId="0" applyNumberFormat="1" applyFont="1" applyBorder="1" applyAlignment="1">
      <alignment horizontal="center" vertical="center" shrinkToFit="1"/>
    </xf>
    <xf numFmtId="177" fontId="4" fillId="0" borderId="18" xfId="0" applyNumberFormat="1" applyFont="1" applyBorder="1" applyAlignment="1">
      <alignment horizontal="center" vertical="center" shrinkToFit="1"/>
    </xf>
    <xf numFmtId="178" fontId="4" fillId="0" borderId="19" xfId="0" applyNumberFormat="1" applyFont="1" applyBorder="1" applyAlignment="1">
      <alignment horizontal="center" vertical="center" shrinkToFit="1"/>
    </xf>
    <xf numFmtId="178" fontId="4" fillId="0" borderId="20" xfId="0" applyNumberFormat="1" applyFont="1" applyBorder="1" applyAlignment="1">
      <alignment horizontal="center" vertical="center" shrinkToFit="1"/>
    </xf>
    <xf numFmtId="176" fontId="0" fillId="0" borderId="22" xfId="0" applyNumberFormat="1" applyFont="1" applyBorder="1" applyAlignment="1">
      <alignment horizontal="center" vertical="center" shrinkToFit="1"/>
    </xf>
    <xf numFmtId="0" fontId="0" fillId="0" borderId="22" xfId="0" applyFont="1" applyBorder="1" applyAlignment="1">
      <alignment horizontal="center" vertical="center" shrinkToFit="1"/>
    </xf>
    <xf numFmtId="177" fontId="4" fillId="0" borderId="22" xfId="0" applyNumberFormat="1" applyFont="1" applyBorder="1" applyAlignment="1">
      <alignment horizontal="center" vertical="center" shrinkToFit="1"/>
    </xf>
    <xf numFmtId="177" fontId="4" fillId="0" borderId="23" xfId="0" applyNumberFormat="1" applyFont="1" applyBorder="1" applyAlignment="1">
      <alignment horizontal="center" vertical="center" shrinkToFit="1"/>
    </xf>
    <xf numFmtId="178" fontId="4" fillId="0" borderId="24" xfId="0" applyNumberFormat="1" applyFont="1" applyBorder="1" applyAlignment="1">
      <alignment horizontal="center" vertical="center" shrinkToFit="1"/>
    </xf>
    <xf numFmtId="178" fontId="4" fillId="0" borderId="25" xfId="0" applyNumberFormat="1" applyFont="1" applyBorder="1" applyAlignment="1">
      <alignment horizontal="center" vertical="center" shrinkToFit="1"/>
    </xf>
    <xf numFmtId="177" fontId="0" fillId="0" borderId="22" xfId="0" applyNumberFormat="1" applyFont="1" applyBorder="1" applyAlignment="1">
      <alignment horizontal="center" vertical="center" shrinkToFit="1"/>
    </xf>
    <xf numFmtId="177" fontId="0" fillId="0" borderId="23" xfId="0" applyNumberFormat="1" applyFont="1" applyBorder="1" applyAlignment="1">
      <alignment horizontal="center" vertical="center" shrinkToFit="1"/>
    </xf>
    <xf numFmtId="178" fontId="4" fillId="0" borderId="28" xfId="0" applyNumberFormat="1" applyFont="1" applyBorder="1" applyAlignment="1">
      <alignment horizontal="center" vertical="center" shrinkToFit="1"/>
    </xf>
    <xf numFmtId="56" fontId="0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5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right" vertical="center"/>
    </xf>
    <xf numFmtId="180" fontId="3" fillId="0" borderId="0" xfId="0" applyNumberFormat="1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8" fontId="3" fillId="0" borderId="0" xfId="0" applyNumberFormat="1" applyFont="1" applyAlignment="1">
      <alignment vertical="center"/>
    </xf>
    <xf numFmtId="179" fontId="3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vertical="center"/>
    </xf>
    <xf numFmtId="5" fontId="7" fillId="0" borderId="0" xfId="0" applyNumberFormat="1" applyFont="1" applyAlignment="1">
      <alignment vertical="center" shrinkToFit="1"/>
    </xf>
    <xf numFmtId="0" fontId="0" fillId="0" borderId="4" xfId="0" applyFont="1" applyBorder="1" applyAlignment="1">
      <alignment horizontal="center" vertical="center" shrinkToFit="1"/>
    </xf>
    <xf numFmtId="0" fontId="0" fillId="0" borderId="37" xfId="0" applyBorder="1">
      <alignment vertical="center"/>
    </xf>
    <xf numFmtId="5" fontId="3" fillId="0" borderId="38" xfId="0" applyNumberFormat="1" applyFont="1" applyBorder="1" applyAlignment="1">
      <alignment horizontal="center" vertical="center"/>
    </xf>
    <xf numFmtId="178" fontId="3" fillId="0" borderId="37" xfId="0" applyNumberFormat="1" applyFont="1" applyBorder="1" applyAlignment="1">
      <alignment vertical="center"/>
    </xf>
    <xf numFmtId="0" fontId="3" fillId="0" borderId="0" xfId="0" applyFont="1" applyBorder="1" applyAlignment="1">
      <alignment horizontal="right" vertical="center" shrinkToFit="1"/>
    </xf>
    <xf numFmtId="0" fontId="0" fillId="0" borderId="41" xfId="0" applyBorder="1">
      <alignment vertical="center"/>
    </xf>
    <xf numFmtId="178" fontId="3" fillId="0" borderId="41" xfId="0" applyNumberFormat="1" applyFont="1" applyBorder="1" applyAlignment="1">
      <alignment vertical="center"/>
    </xf>
    <xf numFmtId="5" fontId="3" fillId="0" borderId="0" xfId="0" applyNumberFormat="1" applyFont="1" applyAlignment="1">
      <alignment horizontal="center" vertical="center"/>
    </xf>
    <xf numFmtId="178" fontId="3" fillId="0" borderId="39" xfId="0" applyNumberFormat="1" applyFont="1" applyBorder="1" applyAlignment="1">
      <alignment horizontal="center" vertical="center"/>
    </xf>
    <xf numFmtId="178" fontId="3" fillId="0" borderId="40" xfId="0" applyNumberFormat="1" applyFont="1" applyBorder="1" applyAlignment="1">
      <alignment horizontal="center" vertical="center"/>
    </xf>
    <xf numFmtId="178" fontId="3" fillId="0" borderId="42" xfId="0" applyNumberFormat="1" applyFont="1" applyBorder="1" applyAlignment="1">
      <alignment horizontal="center" vertical="center"/>
    </xf>
    <xf numFmtId="178" fontId="3" fillId="0" borderId="43" xfId="0" applyNumberFormat="1" applyFont="1" applyBorder="1" applyAlignment="1">
      <alignment horizontal="center" vertical="center"/>
    </xf>
    <xf numFmtId="178" fontId="3" fillId="0" borderId="35" xfId="0" applyNumberFormat="1" applyFont="1" applyBorder="1" applyAlignment="1">
      <alignment horizontal="center" vertical="center"/>
    </xf>
    <xf numFmtId="178" fontId="3" fillId="0" borderId="4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shrinkToFit="1"/>
    </xf>
    <xf numFmtId="0" fontId="3" fillId="0" borderId="27" xfId="0" applyFont="1" applyBorder="1" applyAlignment="1"/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3" fillId="0" borderId="1" xfId="0" applyFont="1" applyBorder="1" applyAlignment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3" xfId="0" applyFont="1" applyBorder="1" applyAlignment="1">
      <alignment horizontal="center" vertical="center" shrinkToFit="1"/>
    </xf>
    <xf numFmtId="0" fontId="3" fillId="0" borderId="4" xfId="0" applyFont="1" applyBorder="1" applyAlignment="1"/>
    <xf numFmtId="0" fontId="0" fillId="0" borderId="3" xfId="0" applyFont="1" applyBorder="1" applyAlignment="1">
      <alignment horizontal="center" vertical="center"/>
    </xf>
    <xf numFmtId="0" fontId="3" fillId="0" borderId="5" xfId="0" applyFont="1" applyBorder="1" applyAlignment="1"/>
    <xf numFmtId="0" fontId="0" fillId="0" borderId="6" xfId="0" applyFont="1" applyBorder="1" applyAlignment="1">
      <alignment horizontal="center" vertical="center"/>
    </xf>
    <xf numFmtId="0" fontId="3" fillId="0" borderId="7" xfId="0" applyFont="1" applyBorder="1" applyAlignment="1"/>
    <xf numFmtId="0" fontId="3" fillId="0" borderId="8" xfId="0" applyFont="1" applyBorder="1" applyAlignment="1"/>
    <xf numFmtId="0" fontId="0" fillId="0" borderId="15" xfId="0" applyFont="1" applyBorder="1" applyAlignment="1">
      <alignment horizontal="center" vertical="center" shrinkToFit="1"/>
    </xf>
    <xf numFmtId="0" fontId="3" fillId="0" borderId="16" xfId="0" applyFont="1" applyBorder="1" applyAlignment="1"/>
    <xf numFmtId="0" fontId="4" fillId="0" borderId="1" xfId="0" applyFont="1" applyBorder="1" applyAlignment="1">
      <alignment horizontal="center" vertical="center" shrinkToFit="1"/>
    </xf>
    <xf numFmtId="0" fontId="3" fillId="0" borderId="21" xfId="0" applyFont="1" applyBorder="1" applyAlignment="1"/>
    <xf numFmtId="0" fontId="0" fillId="0" borderId="26" xfId="0" applyFont="1" applyBorder="1" applyAlignment="1">
      <alignment horizontal="center" vertical="center" shrinkToFit="1"/>
    </xf>
    <xf numFmtId="178" fontId="5" fillId="0" borderId="0" xfId="0" applyNumberFormat="1" applyFont="1" applyAlignment="1">
      <alignment horizontal="center" vertical="center"/>
    </xf>
    <xf numFmtId="0" fontId="3" fillId="0" borderId="36" xfId="0" applyFont="1" applyBorder="1" applyAlignment="1"/>
    <xf numFmtId="178" fontId="0" fillId="0" borderId="0" xfId="0" applyNumberFormat="1" applyFont="1" applyAlignment="1">
      <alignment vertical="center"/>
    </xf>
    <xf numFmtId="178" fontId="5" fillId="0" borderId="0" xfId="0" applyNumberFormat="1" applyFont="1" applyAlignment="1">
      <alignment horizontal="left" vertical="center"/>
    </xf>
    <xf numFmtId="178" fontId="5" fillId="0" borderId="29" xfId="0" applyNumberFormat="1" applyFont="1" applyBorder="1" applyAlignment="1">
      <alignment horizontal="center" vertical="center"/>
    </xf>
    <xf numFmtId="0" fontId="3" fillId="0" borderId="32" xfId="0" applyFont="1" applyBorder="1" applyAlignment="1"/>
    <xf numFmtId="178" fontId="5" fillId="0" borderId="30" xfId="0" applyNumberFormat="1" applyFont="1" applyBorder="1" applyAlignment="1">
      <alignment horizontal="center" vertical="center" shrinkToFit="1"/>
    </xf>
    <xf numFmtId="0" fontId="3" fillId="0" borderId="33" xfId="0" applyFont="1" applyBorder="1" applyAlignment="1"/>
    <xf numFmtId="178" fontId="6" fillId="0" borderId="31" xfId="0" applyNumberFormat="1" applyFont="1" applyBorder="1" applyAlignment="1">
      <alignment horizontal="center" vertical="center" shrinkToFit="1"/>
    </xf>
    <xf numFmtId="0" fontId="3" fillId="0" borderId="34" xfId="0" applyFont="1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4</xdr:row>
          <xdr:rowOff>38100</xdr:rowOff>
        </xdr:from>
        <xdr:to>
          <xdr:col>5</xdr:col>
          <xdr:colOff>400050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E10" sqref="E10"/>
    </sheetView>
  </sheetViews>
  <sheetFormatPr defaultRowHeight="13.5"/>
  <cols>
    <col min="1" max="1" width="13.125" customWidth="1"/>
    <col min="2" max="2" width="14.375" bestFit="1" customWidth="1"/>
    <col min="3" max="3" width="13.375" bestFit="1" customWidth="1"/>
  </cols>
  <sheetData>
    <row r="1" spans="1:3">
      <c r="A1" t="s">
        <v>28</v>
      </c>
      <c r="B1" t="s">
        <v>25</v>
      </c>
      <c r="C1">
        <v>700</v>
      </c>
    </row>
    <row r="2" spans="1:3">
      <c r="A2" t="s">
        <v>29</v>
      </c>
      <c r="B2" t="s">
        <v>25</v>
      </c>
      <c r="C2">
        <v>700</v>
      </c>
    </row>
    <row r="3" spans="1:3">
      <c r="A3" t="s">
        <v>30</v>
      </c>
      <c r="B3" t="s">
        <v>25</v>
      </c>
      <c r="C3">
        <v>700</v>
      </c>
    </row>
    <row r="4" spans="1:3">
      <c r="A4" t="s">
        <v>31</v>
      </c>
      <c r="B4" t="s">
        <v>25</v>
      </c>
      <c r="C4">
        <v>700</v>
      </c>
    </row>
    <row r="5" spans="1:3">
      <c r="A5" t="s">
        <v>40</v>
      </c>
      <c r="B5" t="s">
        <v>27</v>
      </c>
      <c r="C5">
        <v>660</v>
      </c>
    </row>
    <row r="6" spans="1:3">
      <c r="A6" t="s">
        <v>41</v>
      </c>
      <c r="B6" t="s">
        <v>27</v>
      </c>
      <c r="C6">
        <v>660</v>
      </c>
    </row>
    <row r="7" spans="1:3">
      <c r="A7" t="s">
        <v>34</v>
      </c>
      <c r="B7" t="s">
        <v>27</v>
      </c>
      <c r="C7">
        <v>660</v>
      </c>
    </row>
    <row r="8" spans="1:3">
      <c r="A8" t="s">
        <v>36</v>
      </c>
      <c r="B8" t="s">
        <v>27</v>
      </c>
      <c r="C8">
        <v>660</v>
      </c>
    </row>
    <row r="9" spans="1:3">
      <c r="A9" t="s">
        <v>37</v>
      </c>
      <c r="B9" t="s">
        <v>27</v>
      </c>
      <c r="C9">
        <v>660</v>
      </c>
    </row>
    <row r="10" spans="1:3">
      <c r="A10" t="s">
        <v>32</v>
      </c>
      <c r="B10" t="s">
        <v>26</v>
      </c>
      <c r="C10">
        <v>660</v>
      </c>
    </row>
    <row r="11" spans="1:3">
      <c r="A11" t="s">
        <v>33</v>
      </c>
      <c r="B11" t="s">
        <v>26</v>
      </c>
      <c r="C11">
        <v>660</v>
      </c>
    </row>
    <row r="12" spans="1:3">
      <c r="A12" t="s">
        <v>35</v>
      </c>
      <c r="B12" t="s">
        <v>26</v>
      </c>
      <c r="C12">
        <v>660</v>
      </c>
    </row>
    <row r="13" spans="1:3">
      <c r="A13" t="s">
        <v>38</v>
      </c>
      <c r="B13" t="s">
        <v>42</v>
      </c>
      <c r="C13">
        <v>660</v>
      </c>
    </row>
    <row r="14" spans="1:3">
      <c r="A14" t="s">
        <v>39</v>
      </c>
      <c r="B14" t="s">
        <v>43</v>
      </c>
      <c r="C14">
        <v>660</v>
      </c>
    </row>
    <row r="15" spans="1:3">
      <c r="A15" t="s">
        <v>44</v>
      </c>
      <c r="B15" t="s">
        <v>27</v>
      </c>
      <c r="C15">
        <v>660</v>
      </c>
    </row>
    <row r="16" spans="1:3">
      <c r="A16" t="s">
        <v>45</v>
      </c>
      <c r="B16" t="s">
        <v>46</v>
      </c>
      <c r="C16">
        <v>700</v>
      </c>
    </row>
    <row r="17" spans="1:3">
      <c r="A17" t="s">
        <v>47</v>
      </c>
      <c r="B17" t="s">
        <v>25</v>
      </c>
      <c r="C17">
        <v>700</v>
      </c>
    </row>
  </sheetData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3</xdr:col>
                    <xdr:colOff>266700</xdr:colOff>
                    <xdr:row>4</xdr:row>
                    <xdr:rowOff>38100</xdr:rowOff>
                  </from>
                  <to>
                    <xdr:col>5</xdr:col>
                    <xdr:colOff>400050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2"/>
  <sheetViews>
    <sheetView tabSelected="1" topLeftCell="A11" zoomScale="85" zoomScaleNormal="85" workbookViewId="0">
      <selection activeCell="B42" sqref="B42:C42"/>
    </sheetView>
  </sheetViews>
  <sheetFormatPr defaultRowHeight="13.5"/>
  <sheetData>
    <row r="1" spans="1:15" ht="21">
      <c r="A1" s="58" t="s">
        <v>0</v>
      </c>
      <c r="B1" s="59"/>
      <c r="C1" s="59"/>
      <c r="D1" s="59"/>
      <c r="E1" s="59"/>
      <c r="F1" s="59"/>
      <c r="G1" s="1"/>
      <c r="H1" s="1"/>
      <c r="I1" s="1"/>
      <c r="J1" s="1"/>
      <c r="K1" s="61"/>
      <c r="L1" s="58"/>
      <c r="M1" s="59"/>
      <c r="N1" s="62"/>
      <c r="O1" s="59"/>
    </row>
    <row r="2" spans="1:15" ht="21">
      <c r="A2" s="60"/>
      <c r="B2" s="60"/>
      <c r="C2" s="60"/>
      <c r="D2" s="60"/>
      <c r="E2" s="60"/>
      <c r="F2" s="60"/>
      <c r="G2" s="1"/>
      <c r="H2" s="1"/>
      <c r="I2" s="1"/>
      <c r="J2" s="1"/>
      <c r="K2" s="60"/>
      <c r="L2" s="60"/>
      <c r="M2" s="60"/>
      <c r="N2" s="60"/>
      <c r="O2" s="60"/>
    </row>
    <row r="3" spans="1:15" ht="14.25" thickBot="1">
      <c r="A3" s="2" t="s">
        <v>1</v>
      </c>
      <c r="B3" s="2" t="s">
        <v>2</v>
      </c>
      <c r="C3" s="42"/>
      <c r="D3" s="3" t="s">
        <v>3</v>
      </c>
      <c r="E3" s="63" t="e">
        <f>VLOOKUP(G3,名簿!A:B,2,FALSE)</f>
        <v>#N/A</v>
      </c>
      <c r="F3" s="64"/>
      <c r="G3" s="65"/>
      <c r="H3" s="66"/>
      <c r="I3" s="66"/>
      <c r="J3" s="64"/>
      <c r="K3" s="67" t="s">
        <v>4</v>
      </c>
      <c r="L3" s="68"/>
      <c r="M3" s="68"/>
      <c r="N3" s="68"/>
      <c r="O3" s="69"/>
    </row>
    <row r="4" spans="1:15" ht="15" thickTop="1" thickBot="1">
      <c r="A4" s="4" t="s">
        <v>5</v>
      </c>
      <c r="B4" s="5" t="s">
        <v>6</v>
      </c>
      <c r="C4" s="6" t="s">
        <v>7</v>
      </c>
      <c r="D4" s="6" t="s">
        <v>8</v>
      </c>
      <c r="E4" s="6" t="s">
        <v>9</v>
      </c>
      <c r="F4" s="6" t="s">
        <v>10</v>
      </c>
      <c r="G4" s="6" t="s">
        <v>11</v>
      </c>
      <c r="H4" s="7" t="s">
        <v>12</v>
      </c>
      <c r="I4" s="7" t="s">
        <v>13</v>
      </c>
      <c r="J4" s="8" t="s">
        <v>14</v>
      </c>
      <c r="K4" s="9" t="s">
        <v>15</v>
      </c>
      <c r="L4" s="10" t="s">
        <v>16</v>
      </c>
      <c r="M4" s="11" t="s">
        <v>17</v>
      </c>
      <c r="N4" s="70" t="s">
        <v>18</v>
      </c>
      <c r="O4" s="71"/>
    </row>
    <row r="5" spans="1:15">
      <c r="A5" s="12">
        <v>42736</v>
      </c>
      <c r="B5" s="13" t="str">
        <f t="shared" ref="B5:B35" si="0">TEXT(A5,"aaa")</f>
        <v>日</v>
      </c>
      <c r="C5" s="14"/>
      <c r="D5" s="14"/>
      <c r="E5" s="14"/>
      <c r="F5" s="14"/>
      <c r="G5" s="14"/>
      <c r="H5" s="14"/>
      <c r="I5" s="14"/>
      <c r="J5" s="15"/>
      <c r="K5" s="16"/>
      <c r="L5" s="17"/>
      <c r="M5" s="17"/>
      <c r="N5" s="72"/>
      <c r="O5" s="73"/>
    </row>
    <row r="6" spans="1:15">
      <c r="A6" s="18">
        <f>A5+1</f>
        <v>42737</v>
      </c>
      <c r="B6" s="19" t="str">
        <f t="shared" si="0"/>
        <v>月</v>
      </c>
      <c r="C6" s="20"/>
      <c r="D6" s="20"/>
      <c r="E6" s="20"/>
      <c r="F6" s="20"/>
      <c r="G6" s="20"/>
      <c r="H6" s="20"/>
      <c r="I6" s="20"/>
      <c r="J6" s="21"/>
      <c r="K6" s="22"/>
      <c r="L6" s="23"/>
      <c r="M6" s="23"/>
      <c r="N6" s="56"/>
      <c r="O6" s="57"/>
    </row>
    <row r="7" spans="1:15">
      <c r="A7" s="12">
        <f>A6+1</f>
        <v>42738</v>
      </c>
      <c r="B7" s="19" t="str">
        <f t="shared" si="0"/>
        <v>火</v>
      </c>
      <c r="C7" s="20"/>
      <c r="D7" s="20"/>
      <c r="E7" s="20"/>
      <c r="F7" s="20"/>
      <c r="G7" s="20"/>
      <c r="H7" s="20"/>
      <c r="I7" s="20"/>
      <c r="J7" s="21"/>
      <c r="K7" s="16"/>
      <c r="L7" s="23"/>
      <c r="M7" s="23"/>
      <c r="N7" s="56"/>
      <c r="O7" s="57"/>
    </row>
    <row r="8" spans="1:15">
      <c r="A8" s="18">
        <f t="shared" ref="A8:A35" si="1">A7+1</f>
        <v>42739</v>
      </c>
      <c r="B8" s="19" t="str">
        <f t="shared" si="0"/>
        <v>水</v>
      </c>
      <c r="C8" s="20"/>
      <c r="D8" s="20"/>
      <c r="E8" s="20"/>
      <c r="F8" s="20"/>
      <c r="G8" s="20"/>
      <c r="H8" s="20"/>
      <c r="I8" s="20"/>
      <c r="J8" s="21"/>
      <c r="K8" s="22"/>
      <c r="L8" s="23"/>
      <c r="M8" s="23"/>
      <c r="N8" s="56"/>
      <c r="O8" s="57"/>
    </row>
    <row r="9" spans="1:15">
      <c r="A9" s="12">
        <f t="shared" si="1"/>
        <v>42740</v>
      </c>
      <c r="B9" s="19" t="str">
        <f t="shared" si="0"/>
        <v>木</v>
      </c>
      <c r="C9" s="20"/>
      <c r="D9" s="20"/>
      <c r="E9" s="20"/>
      <c r="F9" s="20"/>
      <c r="G9" s="20"/>
      <c r="H9" s="20"/>
      <c r="I9" s="20"/>
      <c r="J9" s="21"/>
      <c r="K9" s="16"/>
      <c r="L9" s="23"/>
      <c r="M9" s="23"/>
      <c r="N9" s="56"/>
      <c r="O9" s="57"/>
    </row>
    <row r="10" spans="1:15">
      <c r="A10" s="18">
        <f t="shared" si="1"/>
        <v>42741</v>
      </c>
      <c r="B10" s="19" t="str">
        <f t="shared" si="0"/>
        <v>金</v>
      </c>
      <c r="C10" s="20"/>
      <c r="D10" s="20"/>
      <c r="E10" s="20"/>
      <c r="F10" s="20"/>
      <c r="G10" s="20"/>
      <c r="H10" s="20"/>
      <c r="I10" s="20"/>
      <c r="J10" s="21"/>
      <c r="K10" s="22"/>
      <c r="L10" s="23"/>
      <c r="M10" s="23"/>
      <c r="N10" s="56"/>
      <c r="O10" s="57"/>
    </row>
    <row r="11" spans="1:15">
      <c r="A11" s="12">
        <f t="shared" si="1"/>
        <v>42742</v>
      </c>
      <c r="B11" s="19" t="str">
        <f t="shared" si="0"/>
        <v>土</v>
      </c>
      <c r="C11" s="20"/>
      <c r="D11" s="20"/>
      <c r="E11" s="20"/>
      <c r="F11" s="20"/>
      <c r="G11" s="20"/>
      <c r="H11" s="20"/>
      <c r="I11" s="20"/>
      <c r="J11" s="21"/>
      <c r="K11" s="16"/>
      <c r="L11" s="23"/>
      <c r="M11" s="23"/>
      <c r="N11" s="56"/>
      <c r="O11" s="57"/>
    </row>
    <row r="12" spans="1:15">
      <c r="A12" s="18">
        <f t="shared" si="1"/>
        <v>42743</v>
      </c>
      <c r="B12" s="19" t="str">
        <f t="shared" si="0"/>
        <v>日</v>
      </c>
      <c r="C12" s="20"/>
      <c r="D12" s="20"/>
      <c r="E12" s="20"/>
      <c r="F12" s="20"/>
      <c r="G12" s="20"/>
      <c r="H12" s="20"/>
      <c r="I12" s="20"/>
      <c r="J12" s="21"/>
      <c r="K12" s="22"/>
      <c r="L12" s="23"/>
      <c r="M12" s="23"/>
      <c r="N12" s="56"/>
      <c r="O12" s="57"/>
    </row>
    <row r="13" spans="1:15">
      <c r="A13" s="12">
        <f t="shared" si="1"/>
        <v>42744</v>
      </c>
      <c r="B13" s="19" t="str">
        <f t="shared" si="0"/>
        <v>月</v>
      </c>
      <c r="C13" s="20"/>
      <c r="D13" s="20"/>
      <c r="E13" s="20"/>
      <c r="F13" s="20"/>
      <c r="G13" s="20"/>
      <c r="H13" s="20"/>
      <c r="I13" s="20"/>
      <c r="J13" s="21"/>
      <c r="K13" s="16"/>
      <c r="L13" s="23"/>
      <c r="M13" s="23"/>
      <c r="N13" s="56"/>
      <c r="O13" s="57"/>
    </row>
    <row r="14" spans="1:15">
      <c r="A14" s="18">
        <f t="shared" si="1"/>
        <v>42745</v>
      </c>
      <c r="B14" s="19" t="str">
        <f t="shared" si="0"/>
        <v>火</v>
      </c>
      <c r="C14" s="20"/>
      <c r="D14" s="20"/>
      <c r="E14" s="20"/>
      <c r="F14" s="20"/>
      <c r="G14" s="20"/>
      <c r="H14" s="20"/>
      <c r="I14" s="20"/>
      <c r="J14" s="21"/>
      <c r="K14" s="22"/>
      <c r="L14" s="23"/>
      <c r="M14" s="23"/>
      <c r="N14" s="56"/>
      <c r="O14" s="57"/>
    </row>
    <row r="15" spans="1:15">
      <c r="A15" s="12">
        <f t="shared" si="1"/>
        <v>42746</v>
      </c>
      <c r="B15" s="19" t="str">
        <f t="shared" si="0"/>
        <v>水</v>
      </c>
      <c r="C15" s="20"/>
      <c r="D15" s="20"/>
      <c r="E15" s="20"/>
      <c r="F15" s="20"/>
      <c r="G15" s="20"/>
      <c r="H15" s="20"/>
      <c r="I15" s="20"/>
      <c r="J15" s="21"/>
      <c r="K15" s="16"/>
      <c r="L15" s="23"/>
      <c r="M15" s="23"/>
      <c r="N15" s="56"/>
      <c r="O15" s="57"/>
    </row>
    <row r="16" spans="1:15">
      <c r="A16" s="18">
        <f t="shared" si="1"/>
        <v>42747</v>
      </c>
      <c r="B16" s="19" t="str">
        <f t="shared" si="0"/>
        <v>木</v>
      </c>
      <c r="C16" s="20"/>
      <c r="D16" s="20"/>
      <c r="E16" s="20"/>
      <c r="F16" s="20"/>
      <c r="G16" s="20"/>
      <c r="H16" s="20"/>
      <c r="I16" s="20"/>
      <c r="J16" s="21"/>
      <c r="K16" s="22"/>
      <c r="L16" s="23"/>
      <c r="M16" s="23"/>
      <c r="N16" s="56"/>
      <c r="O16" s="57"/>
    </row>
    <row r="17" spans="1:15">
      <c r="A17" s="12">
        <f t="shared" si="1"/>
        <v>42748</v>
      </c>
      <c r="B17" s="19" t="str">
        <f t="shared" si="0"/>
        <v>金</v>
      </c>
      <c r="C17" s="20"/>
      <c r="D17" s="20"/>
      <c r="E17" s="20"/>
      <c r="F17" s="20"/>
      <c r="G17" s="20"/>
      <c r="H17" s="20"/>
      <c r="I17" s="20"/>
      <c r="J17" s="21"/>
      <c r="K17" s="16"/>
      <c r="L17" s="23"/>
      <c r="M17" s="23"/>
      <c r="N17" s="56"/>
      <c r="O17" s="57"/>
    </row>
    <row r="18" spans="1:15">
      <c r="A18" s="18">
        <f t="shared" si="1"/>
        <v>42749</v>
      </c>
      <c r="B18" s="19" t="str">
        <f t="shared" si="0"/>
        <v>土</v>
      </c>
      <c r="C18" s="20"/>
      <c r="D18" s="20"/>
      <c r="E18" s="20"/>
      <c r="F18" s="20"/>
      <c r="G18" s="20"/>
      <c r="H18" s="20"/>
      <c r="I18" s="20"/>
      <c r="J18" s="21"/>
      <c r="K18" s="22"/>
      <c r="L18" s="23"/>
      <c r="M18" s="23"/>
      <c r="N18" s="56"/>
      <c r="O18" s="57"/>
    </row>
    <row r="19" spans="1:15">
      <c r="A19" s="12">
        <f t="shared" si="1"/>
        <v>42750</v>
      </c>
      <c r="B19" s="19" t="str">
        <f t="shared" si="0"/>
        <v>日</v>
      </c>
      <c r="C19" s="20"/>
      <c r="D19" s="20"/>
      <c r="E19" s="20"/>
      <c r="F19" s="20"/>
      <c r="G19" s="20"/>
      <c r="H19" s="20"/>
      <c r="I19" s="24"/>
      <c r="J19" s="25"/>
      <c r="K19" s="16"/>
      <c r="L19" s="23"/>
      <c r="M19" s="23"/>
      <c r="N19" s="74"/>
      <c r="O19" s="57"/>
    </row>
    <row r="20" spans="1:15">
      <c r="A20" s="18">
        <f t="shared" si="1"/>
        <v>42751</v>
      </c>
      <c r="B20" s="19" t="str">
        <f t="shared" si="0"/>
        <v>月</v>
      </c>
      <c r="C20" s="20"/>
      <c r="D20" s="20"/>
      <c r="E20" s="24"/>
      <c r="F20" s="20"/>
      <c r="G20" s="20"/>
      <c r="H20" s="24"/>
      <c r="I20" s="24"/>
      <c r="J20" s="25"/>
      <c r="K20" s="22"/>
      <c r="L20" s="23"/>
      <c r="M20" s="23"/>
      <c r="N20" s="74"/>
      <c r="O20" s="57"/>
    </row>
    <row r="21" spans="1:15">
      <c r="A21" s="12">
        <f t="shared" si="1"/>
        <v>42752</v>
      </c>
      <c r="B21" s="19" t="str">
        <f t="shared" si="0"/>
        <v>火</v>
      </c>
      <c r="C21" s="20"/>
      <c r="D21" s="20"/>
      <c r="E21" s="20"/>
      <c r="F21" s="20"/>
      <c r="G21" s="20"/>
      <c r="H21" s="20"/>
      <c r="I21" s="20"/>
      <c r="J21" s="21"/>
      <c r="K21" s="16"/>
      <c r="L21" s="23"/>
      <c r="M21" s="23"/>
      <c r="N21" s="74"/>
      <c r="O21" s="57"/>
    </row>
    <row r="22" spans="1:15">
      <c r="A22" s="18">
        <f t="shared" si="1"/>
        <v>42753</v>
      </c>
      <c r="B22" s="19" t="str">
        <f t="shared" si="0"/>
        <v>水</v>
      </c>
      <c r="C22" s="24"/>
      <c r="D22" s="24"/>
      <c r="E22" s="24"/>
      <c r="F22" s="24"/>
      <c r="G22" s="24"/>
      <c r="H22" s="24"/>
      <c r="I22" s="24"/>
      <c r="J22" s="25"/>
      <c r="K22" s="22"/>
      <c r="L22" s="23"/>
      <c r="M22" s="23"/>
      <c r="N22" s="74"/>
      <c r="O22" s="57"/>
    </row>
    <row r="23" spans="1:15">
      <c r="A23" s="12">
        <f t="shared" si="1"/>
        <v>42754</v>
      </c>
      <c r="B23" s="19" t="str">
        <f t="shared" si="0"/>
        <v>木</v>
      </c>
      <c r="C23" s="24"/>
      <c r="D23" s="24"/>
      <c r="E23" s="24"/>
      <c r="F23" s="20"/>
      <c r="G23" s="20"/>
      <c r="H23" s="20"/>
      <c r="I23" s="20"/>
      <c r="J23" s="21"/>
      <c r="K23" s="16"/>
      <c r="L23" s="23"/>
      <c r="M23" s="23"/>
      <c r="N23" s="74"/>
      <c r="O23" s="57"/>
    </row>
    <row r="24" spans="1:15">
      <c r="A24" s="18">
        <f t="shared" si="1"/>
        <v>42755</v>
      </c>
      <c r="B24" s="19" t="str">
        <f t="shared" si="0"/>
        <v>金</v>
      </c>
      <c r="C24" s="24"/>
      <c r="D24" s="24"/>
      <c r="E24" s="24"/>
      <c r="F24" s="24"/>
      <c r="G24" s="24"/>
      <c r="H24" s="20"/>
      <c r="I24" s="20"/>
      <c r="J24" s="21"/>
      <c r="K24" s="22"/>
      <c r="L24" s="23"/>
      <c r="M24" s="23"/>
      <c r="N24" s="74"/>
      <c r="O24" s="57"/>
    </row>
    <row r="25" spans="1:15">
      <c r="A25" s="12">
        <f t="shared" si="1"/>
        <v>42756</v>
      </c>
      <c r="B25" s="19" t="str">
        <f t="shared" si="0"/>
        <v>土</v>
      </c>
      <c r="C25" s="20"/>
      <c r="D25" s="20"/>
      <c r="E25" s="20"/>
      <c r="F25" s="20"/>
      <c r="G25" s="20"/>
      <c r="H25" s="20"/>
      <c r="I25" s="20"/>
      <c r="J25" s="21"/>
      <c r="K25" s="16"/>
      <c r="L25" s="23"/>
      <c r="M25" s="23"/>
      <c r="N25" s="74"/>
      <c r="O25" s="57"/>
    </row>
    <row r="26" spans="1:15">
      <c r="A26" s="18">
        <f t="shared" si="1"/>
        <v>42757</v>
      </c>
      <c r="B26" s="19" t="str">
        <f t="shared" si="0"/>
        <v>日</v>
      </c>
      <c r="C26" s="24"/>
      <c r="D26" s="24"/>
      <c r="E26" s="24"/>
      <c r="F26" s="20"/>
      <c r="G26" s="20"/>
      <c r="H26" s="20"/>
      <c r="I26" s="20"/>
      <c r="J26" s="21"/>
      <c r="K26" s="22"/>
      <c r="L26" s="23"/>
      <c r="M26" s="23"/>
      <c r="N26" s="74"/>
      <c r="O26" s="57"/>
    </row>
    <row r="27" spans="1:15">
      <c r="A27" s="12">
        <f t="shared" si="1"/>
        <v>42758</v>
      </c>
      <c r="B27" s="19" t="str">
        <f t="shared" si="0"/>
        <v>月</v>
      </c>
      <c r="C27" s="24"/>
      <c r="D27" s="24"/>
      <c r="E27" s="24"/>
      <c r="F27" s="24"/>
      <c r="G27" s="24"/>
      <c r="H27" s="24"/>
      <c r="I27" s="24"/>
      <c r="J27" s="25"/>
      <c r="K27" s="16"/>
      <c r="L27" s="23"/>
      <c r="M27" s="23"/>
      <c r="N27" s="74"/>
      <c r="O27" s="57"/>
    </row>
    <row r="28" spans="1:15">
      <c r="A28" s="18">
        <f t="shared" si="1"/>
        <v>42759</v>
      </c>
      <c r="B28" s="19" t="str">
        <f t="shared" si="0"/>
        <v>火</v>
      </c>
      <c r="C28" s="24"/>
      <c r="D28" s="24"/>
      <c r="E28" s="24"/>
      <c r="F28" s="20"/>
      <c r="G28" s="20"/>
      <c r="H28" s="20"/>
      <c r="I28" s="20"/>
      <c r="J28" s="21"/>
      <c r="K28" s="22"/>
      <c r="L28" s="23"/>
      <c r="M28" s="23"/>
      <c r="N28" s="74"/>
      <c r="O28" s="57"/>
    </row>
    <row r="29" spans="1:15">
      <c r="A29" s="12">
        <f t="shared" si="1"/>
        <v>42760</v>
      </c>
      <c r="B29" s="19" t="str">
        <f t="shared" si="0"/>
        <v>水</v>
      </c>
      <c r="C29" s="24"/>
      <c r="D29" s="24"/>
      <c r="E29" s="24"/>
      <c r="F29" s="24"/>
      <c r="G29" s="24"/>
      <c r="H29" s="24"/>
      <c r="I29" s="24"/>
      <c r="J29" s="25"/>
      <c r="K29" s="16"/>
      <c r="L29" s="23"/>
      <c r="M29" s="23"/>
      <c r="N29" s="74"/>
      <c r="O29" s="57"/>
    </row>
    <row r="30" spans="1:15">
      <c r="A30" s="18">
        <f t="shared" si="1"/>
        <v>42761</v>
      </c>
      <c r="B30" s="19" t="str">
        <f t="shared" si="0"/>
        <v>木</v>
      </c>
      <c r="C30" s="24"/>
      <c r="D30" s="24"/>
      <c r="E30" s="24"/>
      <c r="F30" s="20"/>
      <c r="G30" s="20"/>
      <c r="H30" s="20"/>
      <c r="I30" s="20"/>
      <c r="J30" s="21"/>
      <c r="K30" s="22"/>
      <c r="L30" s="23"/>
      <c r="M30" s="23"/>
      <c r="N30" s="74"/>
      <c r="O30" s="57"/>
    </row>
    <row r="31" spans="1:15">
      <c r="A31" s="12">
        <f t="shared" si="1"/>
        <v>42762</v>
      </c>
      <c r="B31" s="19" t="str">
        <f t="shared" si="0"/>
        <v>金</v>
      </c>
      <c r="C31" s="24"/>
      <c r="D31" s="24"/>
      <c r="E31" s="24"/>
      <c r="F31" s="24"/>
      <c r="G31" s="20"/>
      <c r="H31" s="20"/>
      <c r="I31" s="20"/>
      <c r="J31" s="21"/>
      <c r="K31" s="16"/>
      <c r="L31" s="23"/>
      <c r="M31" s="23"/>
      <c r="N31" s="74"/>
      <c r="O31" s="57"/>
    </row>
    <row r="32" spans="1:15">
      <c r="A32" s="18">
        <f t="shared" si="1"/>
        <v>42763</v>
      </c>
      <c r="B32" s="19" t="str">
        <f t="shared" si="0"/>
        <v>土</v>
      </c>
      <c r="C32" s="24"/>
      <c r="D32" s="24"/>
      <c r="E32" s="24"/>
      <c r="F32" s="24"/>
      <c r="G32" s="24"/>
      <c r="H32" s="24"/>
      <c r="I32" s="24"/>
      <c r="J32" s="25"/>
      <c r="K32" s="22"/>
      <c r="L32" s="23"/>
      <c r="M32" s="23"/>
      <c r="N32" s="74"/>
      <c r="O32" s="57"/>
    </row>
    <row r="33" spans="1:15">
      <c r="A33" s="12">
        <f t="shared" si="1"/>
        <v>42764</v>
      </c>
      <c r="B33" s="19" t="str">
        <f t="shared" si="0"/>
        <v>日</v>
      </c>
      <c r="C33" s="24"/>
      <c r="D33" s="24"/>
      <c r="E33" s="24"/>
      <c r="F33" s="24"/>
      <c r="G33" s="24"/>
      <c r="H33" s="24"/>
      <c r="I33" s="24"/>
      <c r="J33" s="25"/>
      <c r="K33" s="16"/>
      <c r="L33" s="23"/>
      <c r="M33" s="23"/>
      <c r="N33" s="74"/>
      <c r="O33" s="57"/>
    </row>
    <row r="34" spans="1:15">
      <c r="A34" s="18">
        <f t="shared" si="1"/>
        <v>42765</v>
      </c>
      <c r="B34" s="19" t="str">
        <f t="shared" si="0"/>
        <v>月</v>
      </c>
      <c r="C34" s="24"/>
      <c r="D34" s="24"/>
      <c r="E34" s="24"/>
      <c r="F34" s="20"/>
      <c r="G34" s="20"/>
      <c r="H34" s="20"/>
      <c r="I34" s="20"/>
      <c r="J34" s="21"/>
      <c r="K34" s="22"/>
      <c r="L34" s="23"/>
      <c r="M34" s="23"/>
      <c r="N34" s="74"/>
      <c r="O34" s="57"/>
    </row>
    <row r="35" spans="1:15" ht="14.25" thickBot="1">
      <c r="A35" s="12">
        <f t="shared" si="1"/>
        <v>42766</v>
      </c>
      <c r="B35" s="19" t="str">
        <f t="shared" si="0"/>
        <v>火</v>
      </c>
      <c r="C35" s="24"/>
      <c r="D35" s="24"/>
      <c r="E35" s="24"/>
      <c r="F35" s="24"/>
      <c r="G35" s="24"/>
      <c r="H35" s="24"/>
      <c r="I35" s="24"/>
      <c r="J35" s="25"/>
      <c r="K35" s="16"/>
      <c r="L35" s="26"/>
      <c r="M35" s="26"/>
      <c r="N35" s="74"/>
      <c r="O35" s="57"/>
    </row>
    <row r="36" spans="1:15" ht="14.25" customHeight="1" thickTop="1">
      <c r="A36" s="27"/>
      <c r="B36" s="28"/>
      <c r="C36" s="28"/>
      <c r="D36" s="29"/>
      <c r="E36" s="29"/>
      <c r="F36" s="29"/>
      <c r="G36" s="29"/>
      <c r="H36" s="29"/>
      <c r="I36" s="28"/>
      <c r="J36" s="28"/>
      <c r="K36" s="79">
        <f t="shared" ref="K36:M36" si="2">SUM(K5:K35)</f>
        <v>0</v>
      </c>
      <c r="L36" s="81">
        <f t="shared" si="2"/>
        <v>0</v>
      </c>
      <c r="M36" s="83">
        <f t="shared" si="2"/>
        <v>0</v>
      </c>
      <c r="N36" s="30"/>
      <c r="O36" s="30"/>
    </row>
    <row r="37" spans="1:15" ht="14.25" thickBot="1">
      <c r="A37" s="27"/>
      <c r="B37" s="28"/>
      <c r="C37" s="28"/>
      <c r="D37" s="29"/>
      <c r="E37" s="29"/>
      <c r="F37" s="29"/>
      <c r="G37" s="29"/>
      <c r="H37" s="29"/>
      <c r="I37" s="28"/>
      <c r="J37" s="28"/>
      <c r="K37" s="80"/>
      <c r="L37" s="82"/>
      <c r="M37" s="84"/>
      <c r="N37" s="30"/>
      <c r="O37" s="30"/>
    </row>
    <row r="38" spans="1:15" ht="15" thickTop="1" thickBot="1">
      <c r="A38" s="46" t="s">
        <v>15</v>
      </c>
      <c r="B38" s="50">
        <f>SUM(K36)</f>
        <v>0</v>
      </c>
      <c r="C38" s="51"/>
      <c r="D38" s="44" t="s">
        <v>19</v>
      </c>
      <c r="E38" s="33" t="e">
        <f>VLOOKUP(雛形!G3,名簿!A1:C137,3)</f>
        <v>#N/A</v>
      </c>
      <c r="F38" s="34" t="s">
        <v>20</v>
      </c>
      <c r="G38" s="28" t="s">
        <v>21</v>
      </c>
      <c r="H38" s="49" t="e">
        <f>(B38*E38)</f>
        <v>#N/A</v>
      </c>
      <c r="I38" s="49"/>
      <c r="J38" s="28"/>
      <c r="K38" s="35"/>
      <c r="L38" s="36"/>
      <c r="M38" s="37"/>
      <c r="N38" s="30"/>
      <c r="O38" s="30"/>
    </row>
    <row r="39" spans="1:15" ht="14.25" thickBot="1">
      <c r="A39" s="31"/>
      <c r="B39" s="45"/>
      <c r="C39" s="43"/>
      <c r="D39" s="33"/>
      <c r="E39" s="33"/>
      <c r="F39" s="34"/>
      <c r="G39" s="28"/>
      <c r="H39" s="40"/>
      <c r="I39" s="29"/>
      <c r="J39" s="38"/>
      <c r="K39" s="39"/>
      <c r="L39" s="34"/>
      <c r="M39" s="28"/>
      <c r="N39" s="49"/>
      <c r="O39" s="59"/>
    </row>
    <row r="40" spans="1:15" ht="14.25" thickBot="1">
      <c r="A40" s="31" t="s">
        <v>22</v>
      </c>
      <c r="B40" s="52">
        <f>SUM(L36)</f>
        <v>0</v>
      </c>
      <c r="C40" s="53"/>
      <c r="D40" s="32" t="s">
        <v>19</v>
      </c>
      <c r="E40" s="33">
        <v>1400</v>
      </c>
      <c r="F40" s="34" t="s">
        <v>20</v>
      </c>
      <c r="G40" s="28" t="s">
        <v>21</v>
      </c>
      <c r="H40" s="49">
        <f>(B40*E40)</f>
        <v>0</v>
      </c>
      <c r="I40" s="49"/>
      <c r="J40" s="28"/>
      <c r="K40" s="35"/>
      <c r="L40" s="36"/>
      <c r="M40" s="37"/>
      <c r="N40" s="30"/>
      <c r="O40" s="30"/>
    </row>
    <row r="41" spans="1:15" ht="15" thickBot="1">
      <c r="A41" s="31"/>
      <c r="B41" s="48"/>
      <c r="C41" s="47"/>
      <c r="D41" s="33"/>
      <c r="E41" s="33"/>
      <c r="F41" s="34"/>
      <c r="G41" s="28"/>
      <c r="H41" s="40"/>
      <c r="I41" s="29"/>
      <c r="J41" s="28"/>
      <c r="K41" s="75" t="s">
        <v>23</v>
      </c>
      <c r="L41" s="77" t="e">
        <f>SUM(E38:E42)</f>
        <v>#N/A</v>
      </c>
      <c r="M41" s="78" t="s">
        <v>24</v>
      </c>
      <c r="N41" s="41"/>
      <c r="O41" s="41"/>
    </row>
    <row r="42" spans="1:15" ht="15" thickBot="1">
      <c r="A42" s="31" t="s">
        <v>17</v>
      </c>
      <c r="B42" s="54">
        <f>SUM(M36)</f>
        <v>0</v>
      </c>
      <c r="C42" s="55"/>
      <c r="D42" s="32" t="s">
        <v>19</v>
      </c>
      <c r="E42" s="33">
        <v>2500</v>
      </c>
      <c r="F42" s="34" t="s">
        <v>20</v>
      </c>
      <c r="G42" s="28" t="s">
        <v>21</v>
      </c>
      <c r="H42" s="49">
        <f>(B42*E42)</f>
        <v>0</v>
      </c>
      <c r="I42" s="49"/>
      <c r="J42" s="40"/>
      <c r="K42" s="76"/>
      <c r="L42" s="76"/>
      <c r="M42" s="76"/>
      <c r="N42" s="41"/>
      <c r="O42" s="41"/>
    </row>
  </sheetData>
  <mergeCells count="52">
    <mergeCell ref="K41:K42"/>
    <mergeCell ref="L41:L42"/>
    <mergeCell ref="M41:M42"/>
    <mergeCell ref="N34:O34"/>
    <mergeCell ref="N35:O35"/>
    <mergeCell ref="K36:K37"/>
    <mergeCell ref="L36:L37"/>
    <mergeCell ref="M36:M37"/>
    <mergeCell ref="N39:O39"/>
    <mergeCell ref="N33:O33"/>
    <mergeCell ref="N22:O22"/>
    <mergeCell ref="N23:O23"/>
    <mergeCell ref="N24:O24"/>
    <mergeCell ref="N25:O25"/>
    <mergeCell ref="N26:O26"/>
    <mergeCell ref="N27:O27"/>
    <mergeCell ref="N28:O28"/>
    <mergeCell ref="N29:O29"/>
    <mergeCell ref="N30:O30"/>
    <mergeCell ref="N31:O31"/>
    <mergeCell ref="N32:O32"/>
    <mergeCell ref="N21:O21"/>
    <mergeCell ref="N10:O10"/>
    <mergeCell ref="N11:O11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9:O9"/>
    <mergeCell ref="A1:F2"/>
    <mergeCell ref="K1:K2"/>
    <mergeCell ref="L1:M2"/>
    <mergeCell ref="N1:O2"/>
    <mergeCell ref="E3:F3"/>
    <mergeCell ref="G3:J3"/>
    <mergeCell ref="K3:O3"/>
    <mergeCell ref="N4:O4"/>
    <mergeCell ref="N5:O5"/>
    <mergeCell ref="N6:O6"/>
    <mergeCell ref="N7:O7"/>
    <mergeCell ref="N8:O8"/>
    <mergeCell ref="H38:I38"/>
    <mergeCell ref="H40:I40"/>
    <mergeCell ref="H42:I42"/>
    <mergeCell ref="B38:C38"/>
    <mergeCell ref="B40:C40"/>
    <mergeCell ref="B42:C42"/>
  </mergeCells>
  <phoneticPr fontId="1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名簿</vt:lpstr>
      <vt:lpstr>雛形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morimoto</dc:creator>
  <cp:lastModifiedBy>morimoto</cp:lastModifiedBy>
  <dcterms:created xsi:type="dcterms:W3CDTF">2017-04-01T08:50:59Z</dcterms:created>
  <dcterms:modified xsi:type="dcterms:W3CDTF">2017-06-07T15:16:31Z</dcterms:modified>
</cp:coreProperties>
</file>